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PIs" sheetId="2" state="visible" r:id="rId4"/>
    <sheet name="Monthly" sheetId="3" state="visible" r:id="rId5"/>
    <sheet name="By_State" sheetId="4" state="visible" r:id="rId6"/>
    <sheet name="Stages" sheetId="5" state="visible" r:id="rId7"/>
    <sheet name="Reviews" sheetId="6" state="visible" r:id="rId8"/>
  </sheets>
  <definedNames>
    <definedName function="false" hidden="false" localSheetId="0" name="_xlnm.Print_Area" vbProcedure="false">Dashboard!$A$1:$P$45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<sst xmlns="http://schemas.openxmlformats.org/spreadsheetml/2006/main" count="79" uniqueCount="69">
  <si>
    <t xml:space="preserve">Logistics Delivery Performance Dashboard</t>
  </si>
  <si>
    <t xml:space="preserve">Olist Brazilian e-commerce | 2016-2018 | Delivered orders | SQL + Python + Excel</t>
  </si>
  <si>
    <t xml:space="preserve">Delivered orders analysed</t>
  </si>
  <si>
    <t xml:space="preserve">On-time delivery rate</t>
  </si>
  <si>
    <t xml:space="preserve">Avg delivery time (days)</t>
  </si>
  <si>
    <t xml:space="preserve">Avg days late (late orders)</t>
  </si>
  <si>
    <t xml:space="preserve">Data: Olist Brazilian E-Commerce Public Dataset (Kaggle). On time = delivered on or before the estimated delivery date. States with 100+ orders only.</t>
  </si>
  <si>
    <t xml:space="preserve">delivered_orders</t>
  </si>
  <si>
    <t xml:space="preserve">on_time_pct</t>
  </si>
  <si>
    <t xml:space="preserve">avg_delivery_days</t>
  </si>
  <si>
    <t xml:space="preserve">avg_days_late_when_late</t>
  </si>
  <si>
    <t xml:space="preserve">Source: Olist Brazilian E-Commerce Public Dataset (Kaggle). Values exported from SQL queries in analysis.py.</t>
  </si>
  <si>
    <t xml:space="preserve">month</t>
  </si>
  <si>
    <t xml:space="preserve">orders</t>
  </si>
  <si>
    <t xml:space="preserve">2016-10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</si>
  <si>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</si>
  <si>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</si>
  <si>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</si>
  <si>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</si>
  <si>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</si>
  <si>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</si>
  <si>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</si>
  <si>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</si>
  <si>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</si>
  <si>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</si>
  <si>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</si>
  <si>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</si>
  <si>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</si>
  <si>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</si>
  <si>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</si>
  <si>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</si>
  <si>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</si>
  <si>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</si>
  <si>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</si>
  <si>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</si>
  <si>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state</t>
  </si>
  <si>
    <t xml:space="preserve">AL</t>
  </si>
  <si>
    <t xml:space="preserve">MA</t>
  </si>
  <si>
    <t xml:space="preserve">PI</t>
  </si>
  <si>
    <t xml:space="preserve">CE</t>
  </si>
  <si>
    <t xml:space="preserve">SE</t>
  </si>
  <si>
    <t xml:space="preserve">BA</t>
  </si>
  <si>
    <t xml:space="preserve">RJ</t>
  </si>
  <si>
    <t xml:space="preserve">TO</t>
  </si>
  <si>
    <t xml:space="preserve">PA</t>
  </si>
  <si>
    <t xml:space="preserve">ES</t>
  </si>
  <si>
    <t xml:space="preserve">MS</t>
  </si>
  <si>
    <t xml:space="preserve">PB</t>
  </si>
  <si>
    <t xml:space="preserve">PE</t>
  </si>
  <si>
    <t xml:space="preserve">RN</t>
  </si>
  <si>
    <t xml:space="preserve">SC</t>
  </si>
  <si>
    <t xml:space="preserve">GO</t>
  </si>
  <si>
    <t xml:space="preserve">RS</t>
  </si>
  <si>
    <t xml:space="preserve">DF</t>
  </si>
  <si>
    <t xml:space="preserve">MT</t>
  </si>
  <si>
    <t xml:space="preserve">SP</t>
  </si>
  <si>
    <t xml:space="preserve">MG</t>
  </si>
  <si>
    <t xml:space="preserve">PR</t>
  </si>
  <si>
    <t xml:space="preserve">AM</t>
  </si>
  <si>
    <t xml:space="preserve">RO</t>
  </si>
  <si>
    <t xml:space="preserve">delivery_status</t>
  </si>
  <si>
    <t xml:space="preserve">days_to_approval</t>
  </si>
  <si>
    <t xml:space="preserve">days_to_carrier_handover</t>
  </si>
  <si>
    <t xml:space="preserve">days_in_transit</t>
  </si>
  <si>
    <t xml:space="preserve">total_days</t>
  </si>
  <si>
    <t xml:space="preserve">Late</t>
  </si>
  <si>
    <t xml:space="preserve">On time</t>
  </si>
  <si>
    <t xml:space="preserve">avg_review_score</t>
  </si>
  <si>
    <t xml:space="preserve">pct_negative_reviews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</si>
</sst>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0.0\%"/>
    <numFmt numFmtId="170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718096"/>
      <name val="Arial"/>
      <family val="0"/>
      <charset val="1"/>
    </font>
    <font>
      <sz val="10"/>
      <color rgb="FF4A5568"/>
      <name val="Arial"/>
      <family val="0"/>
      <charset val="1"/>
    </font>
    <font>
      <b val="true"/>
      <sz val="24"/>
      <color rgb="FF2B6CB0"/>
      <name val="Arial"/>
      <family val="0"/>
      <charset val="1"/>
    </font>
    <font>
      <b val="true"/>
      <sz val="24"/>
      <color rgb="FFC5303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9"/>
      <color rgb="FF71809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D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78787"/>
      <rgbColor rgb="FF9999FF"/>
      <rgbColor rgb="FF993366"/>
      <rgbColor rgb="FFEDF2F7"/>
      <rgbColor rgb="FFCCFFFF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8936"/>
      <rgbColor rgb="FFFF6600"/>
      <rgbColor rgb="FF718096"/>
      <rgbColor rgb="FF969696"/>
      <rgbColor rgb="FF1F3A5F"/>
      <rgbColor rgb="FF339966"/>
      <rgbColor rgb="FF003300"/>
      <rgbColor rgb="FF333300"/>
      <rgbColor rgb="FFC53030"/>
      <rgbColor rgb="FF993366"/>
      <rgbColor rgb="FF4A55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On-time delivery rate by month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Monthly!C1</c:f>
              <c:strCache>
                <c:ptCount val="1"/>
                <c:pt idx="0">
                  <c:v>on_time_pct</c:v>
                </c:pt>
              </c:strCache>
            </c:strRef>
          </c:tx>
          <c:spPr>
            <a:solidFill>
              <a:srgbClr val="2b6cb0"/>
            </a:solidFill>
            <a:ln w="28080">
              <a:solidFill>
                <a:srgbClr val="2b6cb0"/>
              </a:solidFill>
              <a:round/>
            </a:ln>
          </c:spPr>
          <c:marker>
            <c:symbol val="circle"/>
            <c:size val="5"/>
            <c:spPr>
              <a:solidFill>
                <a:srgbClr val="2b6cb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Monthly!$A$2:$A$22</c:f>
              <c:strCache>
                <c:ptCount val="21"/>
                <c:pt idx="0">
                  <c:v>2016-10</c:v>
                </c:pt>
                <c:pt idx="1">
                  <c:v>2017-01</c:v>
                </c:pt>
                <c:pt idx="2">
                  <c:v>2017-02</c:v>
                </c:pt>
                <c:pt idx="3">
                  <c:v>2017-03</c:v>
                </c:pt>
                <c:pt idx="4">
                  <c:v>2017-04</c:v>
                </c:pt>
                <c:pt idx="5">
                  <c:v>2017-05</c:v>
                </c:pt>
                <c:pt idx="6">
                  <c:v>2017-06</c:v>
                </c:pt>
                <c:pt idx="7">
                  <c:v>2017-07</c:v>
                </c:pt>
                <c:pt idx="8">
                  <c:v>2017-08</c:v>
                </c:pt>
                <c:pt idx="9">
                  <c:v>2017-09</c:v>
                </c:pt>
                <c:pt idx="10">
                  <c:v>2017-10</c:v>
                </c:pt>
                <c:pt idx="11">
                  <c:v>2017-11</c:v>
                </c:pt>
                <c:pt idx="12">
                  <c:v>2017-12</c:v>
                </c:pt>
                <c:pt idx="13">
                  <c:v>2018-01</c:v>
                </c:pt>
                <c:pt idx="14">
                  <c:v>2018-02</c:v>
                </c:pt>
                <c:pt idx="15">
                  <c:v>2018-03</c:v>
                </c:pt>
                <c:pt idx="16">
                  <c:v>2018-04</c:v>
                </c:pt>
                <c:pt idx="17">
                  <c:v>2018-05</c:v>
                </c:pt>
                <c:pt idx="18">
                  <c:v>2018-06</c:v>
                </c:pt>
                <c:pt idx="19">
                  <c:v>2018-07</c:v>
                </c:pt>
                <c:pt idx="20">
                  <c:v>2018-08</c:v>
                </c:pt>
              </c:strCache>
            </c:strRef>
          </c:cat>
          <c:val>
            <c:numRef>
              <c:f>Monthly!$C$2:$C$22</c:f>
              <c:numCache>
                <c:formatCode>General</c:formatCode>
                <c:ptCount val="21"/>
                <c:pt idx="0">
                  <c:v>98.87</c:v>
                </c:pt>
                <c:pt idx="1">
                  <c:v>96.93</c:v>
                </c:pt>
                <c:pt idx="2">
                  <c:v>96.79</c:v>
                </c:pt>
                <c:pt idx="3">
                  <c:v>94.42</c:v>
                </c:pt>
                <c:pt idx="4">
                  <c:v>92.14</c:v>
                </c:pt>
                <c:pt idx="5">
                  <c:v>96.39</c:v>
                </c:pt>
                <c:pt idx="6">
                  <c:v>96.14</c:v>
                </c:pt>
                <c:pt idx="7">
                  <c:v>96.57</c:v>
                </c:pt>
                <c:pt idx="8">
                  <c:v>96.68</c:v>
                </c:pt>
                <c:pt idx="9">
                  <c:v>94.8</c:v>
                </c:pt>
                <c:pt idx="10">
                  <c:v>94.71</c:v>
                </c:pt>
                <c:pt idx="11">
                  <c:v>85.69</c:v>
                </c:pt>
                <c:pt idx="12">
                  <c:v>91.62</c:v>
                </c:pt>
                <c:pt idx="13">
                  <c:v>93.44</c:v>
                </c:pt>
                <c:pt idx="14">
                  <c:v>84.01</c:v>
                </c:pt>
                <c:pt idx="15">
                  <c:v>78.64</c:v>
                </c:pt>
                <c:pt idx="16">
                  <c:v>94.69</c:v>
                </c:pt>
                <c:pt idx="17">
                  <c:v>91.76</c:v>
                </c:pt>
                <c:pt idx="18">
                  <c:v>98.64</c:v>
                </c:pt>
                <c:pt idx="19">
                  <c:v>95.52</c:v>
                </c:pt>
                <c:pt idx="20">
                  <c:v>89.61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059788"/>
        <c:axId val="71619641"/>
      </c:lineChart>
      <c:catAx>
        <c:axId val="480597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19641"/>
        <c:crosses val="autoZero"/>
        <c:auto val="1"/>
        <c:lblAlgn val="ctr"/>
        <c:lblOffset val="100"/>
        <c:noMultiLvlLbl val="0"/>
      </c:catAx>
      <c:valAx>
        <c:axId val="71619641"/>
        <c:scaling>
          <c:orientation val="minMax"/>
          <c:max val="100"/>
          <c:min val="7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597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 lowest on-time rates by state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By_State!C1</c:f>
              <c:strCache>
                <c:ptCount val="1"/>
                <c:pt idx="0">
                  <c:v>on_time_pct</c:v>
                </c:pt>
              </c:strCache>
            </c:strRef>
          </c:tx>
          <c:spPr>
            <a:solidFill>
              <a:srgbClr val="c53030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By_State!$A$2:$A$11</c:f>
              <c:strCache>
                <c:ptCount val="10"/>
                <c:pt idx="0">
                  <c:v>AL</c:v>
                </c:pt>
                <c:pt idx="1">
                  <c:v>MA</c:v>
                </c:pt>
                <c:pt idx="2">
                  <c:v>PI</c:v>
                </c:pt>
                <c:pt idx="3">
                  <c:v>CE</c:v>
                </c:pt>
                <c:pt idx="4">
                  <c:v>SE</c:v>
                </c:pt>
                <c:pt idx="5">
                  <c:v>BA</c:v>
                </c:pt>
                <c:pt idx="6">
                  <c:v>RJ</c:v>
                </c:pt>
                <c:pt idx="7">
                  <c:v>TO</c:v>
                </c:pt>
                <c:pt idx="8">
                  <c:v>PA</c:v>
                </c:pt>
                <c:pt idx="9">
                  <c:v>ES</c:v>
                </c:pt>
              </c:strCache>
            </c:strRef>
          </c:cat>
          <c:val>
            <c:numRef>
              <c:f>By_State!$C$2:$C$11</c:f>
              <c:numCache>
                <c:formatCode>General</c:formatCode>
                <c:ptCount val="10"/>
                <c:pt idx="0">
                  <c:v>76.07</c:v>
                </c:pt>
                <c:pt idx="1">
                  <c:v>80.33</c:v>
                </c:pt>
                <c:pt idx="2">
                  <c:v>84.03</c:v>
                </c:pt>
                <c:pt idx="3">
                  <c:v>84.68</c:v>
                </c:pt>
                <c:pt idx="4">
                  <c:v>84.78</c:v>
                </c:pt>
                <c:pt idx="5">
                  <c:v>85.96</c:v>
                </c:pt>
                <c:pt idx="6">
                  <c:v>86.53</c:v>
                </c:pt>
                <c:pt idx="7">
                  <c:v>87.23</c:v>
                </c:pt>
                <c:pt idx="8">
                  <c:v>87.63</c:v>
                </c:pt>
                <c:pt idx="9">
                  <c:v>87.77</c:v>
                </c:pt>
              </c:numCache>
            </c:numRef>
          </c:val>
        </c:ser>
        <c:gapWidth val="150"/>
        <c:overlap val="0"/>
        <c:axId val="22775902"/>
        <c:axId val="30187148"/>
      </c:barChart>
      <c:catAx>
        <c:axId val="2277590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87148"/>
        <c:crosses val="autoZero"/>
        <c:auto val="1"/>
        <c:lblAlgn val="ctr"/>
        <c:lblOffset val="100"/>
        <c:noMultiLvlLbl val="0"/>
      </c:catAx>
      <c:valAx>
        <c:axId val="30187148"/>
        <c:scaling>
          <c:orientation val="minMax"/>
          <c:max val="100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759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time goes: average days per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"Purchase to approval"</c:f>
              <c:strCache>
                <c:ptCount val="1"/>
                <c:pt idx="0">
                  <c:v>Purchase to approval</c:v>
                </c:pt>
              </c:strCache>
            </c:strRef>
          </c:tx>
          <c:spPr>
            <a:solidFill>
              <a:srgbClr val="a0aec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Stages!$A$2:$A$3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Stages!$C$2:$C$3</c:f>
              <c:numCache>
                <c:formatCode>General</c:formatCode>
                <c:ptCount val="2"/>
                <c:pt idx="0">
                  <c:v>0.51</c:v>
                </c:pt>
                <c:pt idx="1">
                  <c:v>0.42</c:v>
                </c:pt>
              </c:numCache>
            </c:numRef>
          </c:val>
        </c:ser>
        <c:ser>
          <c:idx val="1"/>
          <c:order val="1"/>
          <c:tx>
            <c:strRef>
              <c:f>"Approval to carrier"</c:f>
              <c:strCache>
                <c:ptCount val="1"/>
                <c:pt idx="0">
                  <c:v>Approval to carrier</c:v>
                </c:pt>
              </c:strCache>
            </c:strRef>
          </c:tx>
          <c:spPr>
            <a:solidFill>
              <a:srgbClr val="ed893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Stages!$A$2:$A$3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Stages!$D$2:$D$3</c:f>
              <c:numCache>
                <c:formatCode>General</c:formatCode>
                <c:ptCount val="2"/>
                <c:pt idx="0">
                  <c:v>5.32</c:v>
                </c:pt>
                <c:pt idx="1">
                  <c:v>2.58</c:v>
                </c:pt>
              </c:numCache>
            </c:numRef>
          </c:val>
        </c:ser>
        <c:ser>
          <c:idx val="2"/>
          <c:order val="2"/>
          <c:tx>
            <c:strRef>
              <c:f>"In transit"</c:f>
              <c:strCache>
                <c:ptCount val="1"/>
                <c:pt idx="0">
                  <c:v>In transit</c:v>
                </c:pt>
              </c:strCache>
            </c:strRef>
          </c:tx>
          <c:spPr>
            <a:solidFill>
              <a:srgbClr val="2b6c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Stages!$A$2:$A$3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Stages!$E$2:$E$3</c:f>
              <c:numCache>
                <c:formatCode>General</c:formatCode>
                <c:ptCount val="2"/>
                <c:pt idx="0">
                  <c:v>25.68</c:v>
                </c:pt>
                <c:pt idx="1">
                  <c:v>7.89</c:v>
                </c:pt>
              </c:numCache>
            </c:numRef>
          </c:val>
        </c:ser>
        <c:gapWidth val="150"/>
        <c:overlap val="100"/>
        <c:axId val="20545004"/>
        <c:axId val="37657031"/>
      </c:barChart>
      <c:catAx>
        <c:axId val="20545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57031"/>
        <c:crosses val="autoZero"/>
        <c:auto val="1"/>
        <c:lblAlgn val="ctr"/>
        <c:lblOffset val="100"/>
        <c:noMultiLvlLbl val="0"/>
      </c:catAx>
      <c:valAx>
        <c:axId val="37657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450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 deliveries: lower scores, far more negative reviews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review score (1-5)"</c:f>
              <c:strCache>
                <c:ptCount val="1"/>
                <c:pt idx="0">
                  <c:v>Avg review score (1-5)</c:v>
                </c:pt>
              </c:strCache>
            </c:strRef>
          </c:tx>
          <c:spPr>
            <a:solidFill>
              <a:srgbClr val="2b6cb0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Reviews!$A$2:$A$3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Reviews!$C$2:$C$3</c:f>
              <c:numCache>
                <c:formatCode>General</c:formatCode>
                <c:ptCount val="2"/>
                <c:pt idx="0">
                  <c:v>2.57</c:v>
                </c:pt>
                <c:pt idx="1">
                  <c:v>4.29</c:v>
                </c:pt>
              </c:numCache>
            </c:numRef>
          </c:val>
        </c:ser>
        <c:gapWidth val="150"/>
        <c:overlap val="0"/>
        <c:axId val="55332524"/>
        <c:axId val="67867156"/>
      </c:barChart>
      <c:lineChart>
        <c:grouping val="standard"/>
        <c:varyColors val="0"/>
        <c:ser>
          <c:idx val="1"/>
          <c:order val="1"/>
          <c:tx>
            <c:strRef>
              <c:f>"% negative reviews (1-2 stars)"</c:f>
              <c:strCache>
                <c:ptCount val="1"/>
                <c:pt idx="0">
                  <c:v>% negative reviews (1-2 stars)</c:v>
                </c:pt>
              </c:strCache>
            </c:strRef>
          </c:tx>
          <c:spPr>
            <a:solidFill>
              <a:srgbClr val="c53030"/>
            </a:solidFill>
            <a:ln w="28080">
              <a:solidFill>
                <a:srgbClr val="c53030"/>
              </a:solidFill>
              <a:round/>
            </a:ln>
          </c:spPr>
          <c:marker>
            <c:symbol val="circle"/>
            <c:size val="8"/>
            <c:spPr>
              <a:solidFill>
                <a:srgbClr val="c53030"/>
              </a:solidFill>
            </c:spPr>
          </c:marker>
          <c:dLbls>
            <c:numFmt formatCode="0.0\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Reviews!$A$2:$A$3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Reviews!$D$2:$D$3</c:f>
              <c:numCache>
                <c:formatCode>General</c:formatCode>
                <c:ptCount val="2"/>
                <c:pt idx="0">
                  <c:v>53.99</c:v>
                </c:pt>
                <c:pt idx="1">
                  <c:v>9.19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661236"/>
        <c:axId val="41852158"/>
      </c:lineChart>
      <c:catAx>
        <c:axId val="553325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67156"/>
        <c:crosses val="autoZero"/>
        <c:auto val="1"/>
        <c:lblAlgn val="ctr"/>
        <c:lblOffset val="100"/>
        <c:noMultiLvlLbl val="0"/>
      </c:catAx>
      <c:valAx>
        <c:axId val="67867156"/>
        <c:scaling>
          <c:orientation val="minMax"/>
          <c:max val="5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review score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32524"/>
        <c:crosses val="autoZero"/>
        <c:crossBetween val="between"/>
      </c:valAx>
      <c:catAx>
        <c:axId val="486612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52158"/>
        <c:crosses val="autoZero"/>
        <c:auto val="1"/>
        <c:lblAlgn val="ctr"/>
        <c:lblOffset val="100"/>
        <c:noMultiLvlLbl val="0"/>
      </c:catAx>
      <c:valAx>
        <c:axId val="41852158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negative reviews (1-2 stars)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6123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7</xdr:col>
      <xdr:colOff>605520</xdr:colOff>
      <xdr:row>24</xdr:row>
      <xdr:rowOff>47520</xdr:rowOff>
    </xdr:to>
    <xdr:graphicFrame>
      <xdr:nvGraphicFramePr>
        <xdr:cNvPr id="0" name="Chart 1"/>
        <xdr:cNvGraphicFramePr/>
      </xdr:nvGraphicFramePr>
      <xdr:xfrm>
        <a:off x="0" y="2457360"/>
        <a:ext cx="701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15</xdr:col>
      <xdr:colOff>605520</xdr:colOff>
      <xdr:row>24</xdr:row>
      <xdr:rowOff>47520</xdr:rowOff>
    </xdr:to>
    <xdr:graphicFrame>
      <xdr:nvGraphicFramePr>
        <xdr:cNvPr id="1" name="Chart 2"/>
        <xdr:cNvGraphicFramePr/>
      </xdr:nvGraphicFramePr>
      <xdr:xfrm>
        <a:off x="7330320" y="2457360"/>
        <a:ext cx="701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605520</xdr:colOff>
      <xdr:row>42</xdr:row>
      <xdr:rowOff>47520</xdr:rowOff>
    </xdr:to>
    <xdr:graphicFrame>
      <xdr:nvGraphicFramePr>
        <xdr:cNvPr id="2" name="Chart 3"/>
        <xdr:cNvGraphicFramePr/>
      </xdr:nvGraphicFramePr>
      <xdr:xfrm>
        <a:off x="0" y="5886360"/>
        <a:ext cx="701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15</xdr:col>
      <xdr:colOff>605520</xdr:colOff>
      <xdr:row>42</xdr:row>
      <xdr:rowOff>47520</xdr:rowOff>
    </xdr:to>
    <xdr:graphicFrame>
      <xdr:nvGraphicFramePr>
        <xdr:cNvPr id="3" name="Chart 4"/>
        <xdr:cNvGraphicFramePr/>
      </xdr:nvGraphicFramePr>
      <xdr:xfrm>
        <a:off x="7330320" y="5886360"/>
        <a:ext cx="701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P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 t="s">
        <v>3</v>
      </c>
      <c r="F4" s="3"/>
      <c r="G4" s="3"/>
      <c r="H4" s="3"/>
      <c r="I4" s="3" t="s">
        <v>4</v>
      </c>
      <c r="J4" s="3"/>
      <c r="K4" s="3"/>
      <c r="L4" s="3"/>
      <c r="M4" s="3" t="s">
        <v>5</v>
      </c>
      <c r="N4" s="3"/>
      <c r="O4" s="3"/>
      <c r="P4" s="3"/>
    </row>
    <row r="5" customFormat="false" ht="39.75" hidden="false" customHeight="true" outlineLevel="0" collapsed="false">
      <c r="A5" s="4" t="n">
        <f aca="false">KPIs!A2</f>
        <v>96470</v>
      </c>
      <c r="B5" s="4"/>
      <c r="C5" s="4"/>
      <c r="D5" s="4"/>
      <c r="E5" s="5" t="n">
        <f aca="false">KPIs!B2/100</f>
        <v>0.9189</v>
      </c>
      <c r="F5" s="5"/>
      <c r="G5" s="5"/>
      <c r="H5" s="5"/>
      <c r="I5" s="6" t="n">
        <f aca="false">KPIs!C2</f>
        <v>12.56</v>
      </c>
      <c r="J5" s="6"/>
      <c r="K5" s="6"/>
      <c r="L5" s="6"/>
      <c r="M5" s="7" t="n">
        <f aca="false">KPIs!D2</f>
        <v>9.55</v>
      </c>
      <c r="N5" s="7"/>
      <c r="O5" s="7"/>
      <c r="P5" s="7"/>
    </row>
    <row r="7" customFormat="false" ht="30" hidden="false" customHeight="true" outlineLevel="0" collapsed="false">
      <c r="A7" s="8" t="str">
        <f aca="false">"Key insight: late orders spend "&amp;TEXT(INDEX(Stages!E:E,MATCH("Late",Stages!A:A,0)),"0.0")&amp;" days in transit vs "&amp;TEXT(INDEX(Stages!E:E,MATCH("On time",Stages!A:A,0)),"0.0")&amp;" for on-time orders, and score "&amp;TEXT(INDEX(Reviews!C:C,MATCH("Late",Reviews!A:A,0)),"0.00")&amp;" vs "&amp;TEXT(INDEX(Reviews!C:C,MATCH("On time",Reviews!A:A,0)),"0.00")&amp;" average review."</f>
        <v>Key insight: late orders spend 25.7 days in transit vs 7.9 for on-time orders, and score 2.57 vs 4.29 average review.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45" customFormat="false" ht="15" hidden="false" customHeight="false" outlineLevel="0" collapsed="false">
      <c r="A45" s="9" t="s">
        <v>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</sheetData>
  <mergeCells count="12">
    <mergeCell ref="A1:P1"/>
    <mergeCell ref="A2:P2"/>
    <mergeCell ref="A4:D4"/>
    <mergeCell ref="E4:H4"/>
    <mergeCell ref="I4:L4"/>
    <mergeCell ref="M4:P4"/>
    <mergeCell ref="A5:D5"/>
    <mergeCell ref="E5:H5"/>
    <mergeCell ref="I5:L5"/>
    <mergeCell ref="M5:P5"/>
    <mergeCell ref="A7:P7"/>
    <mergeCell ref="A45:P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31.5" hidden="false" customHeight="true" outlineLevel="0" collapsed="false">
      <c r="A1" s="10" t="s">
        <v>7</v>
      </c>
      <c r="B1" s="10" t="s">
        <v>8</v>
      </c>
      <c r="C1" s="10" t="s">
        <v>9</v>
      </c>
      <c r="D1" s="10" t="s">
        <v>10</v>
      </c>
    </row>
    <row r="2" customFormat="false" ht="15" hidden="false" customHeight="false" outlineLevel="0" collapsed="false">
      <c r="A2" s="11" t="n">
        <v>96470</v>
      </c>
      <c r="B2" s="12" t="n">
        <v>91.89</v>
      </c>
      <c r="C2" s="12" t="n">
        <v>12.56</v>
      </c>
      <c r="D2" s="12" t="n">
        <v>9.55</v>
      </c>
    </row>
    <row r="4" customFormat="false" ht="15" hidden="false" customHeight="false" outlineLevel="0" collapsed="false">
      <c r="A4" s="1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31.5" hidden="false" customHeight="true" outlineLevel="0" collapsed="false">
      <c r="A1" s="10" t="s">
        <v>12</v>
      </c>
      <c r="B1" s="10" t="s">
        <v>13</v>
      </c>
      <c r="C1" s="10" t="s">
        <v>8</v>
      </c>
      <c r="D1" s="10" t="s">
        <v>9</v>
      </c>
    </row>
    <row r="2" customFormat="false" ht="15" hidden="false" customHeight="false" outlineLevel="0" collapsed="false">
      <c r="A2" s="12" t="s">
        <v>14</v>
      </c>
      <c r="B2" s="11" t="n">
        <v>265</v>
      </c>
      <c r="C2" s="12" t="n">
        <v>98.87</v>
      </c>
      <c r="D2" s="12" t="n">
        <v>19.6</v>
      </c>
    </row>
    <row r="3" customFormat="false" ht="15" hidden="false" customHeight="false" outlineLevel="0" collapsed="false">
      <c r="A3" s="12" t="s">
        <v>15</v>
      </c>
      <c r="B3" s="11" t="n">
        <v>750</v>
      </c>
      <c r="C3" s="12" t="n">
        <v>96.93</v>
      </c>
      <c r="D3" s="12" t="n">
        <v>12.65</v>
      </c>
    </row>
    <row r="4" customFormat="false" ht="15" hidden="false" customHeight="false" outlineLevel="0" collapsed="false">
      <c r="A4" s="12" t="s">
        <v>16</v>
      </c>
      <c r="B4" s="11" t="n">
        <v>1653</v>
      </c>
      <c r="C4" s="12" t="n">
        <v>96.79</v>
      </c>
      <c r="D4" s="12" t="n">
        <v>13.17</v>
      </c>
    </row>
    <row r="5" customFormat="false" ht="15" hidden="false" customHeight="false" outlineLevel="0" collapsed="false">
      <c r="A5" s="12" t="s">
        <v>17</v>
      </c>
      <c r="B5" s="11" t="n">
        <v>2546</v>
      </c>
      <c r="C5" s="12" t="n">
        <v>94.42</v>
      </c>
      <c r="D5" s="12" t="n">
        <v>12.95</v>
      </c>
    </row>
    <row r="6" customFormat="false" ht="15" hidden="false" customHeight="false" outlineLevel="0" collapsed="false">
      <c r="A6" s="12" t="s">
        <v>18</v>
      </c>
      <c r="B6" s="11" t="n">
        <v>2303</v>
      </c>
      <c r="C6" s="12" t="n">
        <v>92.14</v>
      </c>
      <c r="D6" s="12" t="n">
        <v>14.92</v>
      </c>
    </row>
    <row r="7" customFormat="false" ht="15" hidden="false" customHeight="false" outlineLevel="0" collapsed="false">
      <c r="A7" s="12" t="s">
        <v>19</v>
      </c>
      <c r="B7" s="11" t="n">
        <v>3545</v>
      </c>
      <c r="C7" s="12" t="n">
        <v>96.39</v>
      </c>
      <c r="D7" s="12" t="n">
        <v>11.32</v>
      </c>
    </row>
    <row r="8" customFormat="false" ht="15" hidden="false" customHeight="false" outlineLevel="0" collapsed="false">
      <c r="A8" s="12" t="s">
        <v>20</v>
      </c>
      <c r="B8" s="11" t="n">
        <v>3135</v>
      </c>
      <c r="C8" s="12" t="n">
        <v>96.14</v>
      </c>
      <c r="D8" s="12" t="n">
        <v>12.01</v>
      </c>
    </row>
    <row r="9" customFormat="false" ht="15" hidden="false" customHeight="false" outlineLevel="0" collapsed="false">
      <c r="A9" s="12" t="s">
        <v>21</v>
      </c>
      <c r="B9" s="11" t="n">
        <v>3872</v>
      </c>
      <c r="C9" s="12" t="n">
        <v>96.57</v>
      </c>
      <c r="D9" s="12" t="n">
        <v>11.59</v>
      </c>
    </row>
    <row r="10" customFormat="false" ht="15" hidden="false" customHeight="false" outlineLevel="0" collapsed="false">
      <c r="A10" s="12" t="s">
        <v>22</v>
      </c>
      <c r="B10" s="11" t="n">
        <v>4193</v>
      </c>
      <c r="C10" s="12" t="n">
        <v>96.68</v>
      </c>
      <c r="D10" s="12" t="n">
        <v>11.15</v>
      </c>
    </row>
    <row r="11" customFormat="false" ht="15" hidden="false" customHeight="false" outlineLevel="0" collapsed="false">
      <c r="A11" s="12" t="s">
        <v>23</v>
      </c>
      <c r="B11" s="11" t="n">
        <v>4150</v>
      </c>
      <c r="C11" s="12" t="n">
        <v>94.8</v>
      </c>
      <c r="D11" s="12" t="n">
        <v>11.85</v>
      </c>
    </row>
    <row r="12" customFormat="false" ht="15" hidden="false" customHeight="false" outlineLevel="0" collapsed="false">
      <c r="A12" s="12" t="s">
        <v>24</v>
      </c>
      <c r="B12" s="11" t="n">
        <v>4478</v>
      </c>
      <c r="C12" s="12" t="n">
        <v>94.71</v>
      </c>
      <c r="D12" s="12" t="n">
        <v>11.86</v>
      </c>
    </row>
    <row r="13" customFormat="false" ht="15" hidden="false" customHeight="false" outlineLevel="0" collapsed="false">
      <c r="A13" s="12" t="s">
        <v>25</v>
      </c>
      <c r="B13" s="11" t="n">
        <v>7288</v>
      </c>
      <c r="C13" s="12" t="n">
        <v>85.69</v>
      </c>
      <c r="D13" s="12" t="n">
        <v>15.16</v>
      </c>
    </row>
    <row r="14" customFormat="false" ht="15" hidden="false" customHeight="false" outlineLevel="0" collapsed="false">
      <c r="A14" s="12" t="s">
        <v>26</v>
      </c>
      <c r="B14" s="11" t="n">
        <v>5513</v>
      </c>
      <c r="C14" s="12" t="n">
        <v>91.62</v>
      </c>
      <c r="D14" s="12" t="n">
        <v>15.39</v>
      </c>
    </row>
    <row r="15" customFormat="false" ht="15" hidden="false" customHeight="false" outlineLevel="0" collapsed="false">
      <c r="A15" s="12" t="s">
        <v>27</v>
      </c>
      <c r="B15" s="11" t="n">
        <v>7069</v>
      </c>
      <c r="C15" s="12" t="n">
        <v>93.44</v>
      </c>
      <c r="D15" s="12" t="n">
        <v>14.08</v>
      </c>
    </row>
    <row r="16" customFormat="false" ht="15" hidden="false" customHeight="false" outlineLevel="0" collapsed="false">
      <c r="A16" s="12" t="s">
        <v>28</v>
      </c>
      <c r="B16" s="11" t="n">
        <v>6555</v>
      </c>
      <c r="C16" s="12" t="n">
        <v>84.01</v>
      </c>
      <c r="D16" s="12" t="n">
        <v>16.95</v>
      </c>
    </row>
    <row r="17" customFormat="false" ht="15" hidden="false" customHeight="false" outlineLevel="0" collapsed="false">
      <c r="A17" s="12" t="s">
        <v>29</v>
      </c>
      <c r="B17" s="11" t="n">
        <v>7003</v>
      </c>
      <c r="C17" s="12" t="n">
        <v>78.64</v>
      </c>
      <c r="D17" s="12" t="n">
        <v>16.3</v>
      </c>
    </row>
    <row r="18" customFormat="false" ht="15" hidden="false" customHeight="false" outlineLevel="0" collapsed="false">
      <c r="A18" s="12" t="s">
        <v>30</v>
      </c>
      <c r="B18" s="11" t="n">
        <v>6798</v>
      </c>
      <c r="C18" s="12" t="n">
        <v>94.69</v>
      </c>
      <c r="D18" s="12" t="n">
        <v>11.5</v>
      </c>
    </row>
    <row r="19" customFormat="false" ht="15" hidden="false" customHeight="false" outlineLevel="0" collapsed="false">
      <c r="A19" s="12" t="s">
        <v>31</v>
      </c>
      <c r="B19" s="11" t="n">
        <v>6749</v>
      </c>
      <c r="C19" s="12" t="n">
        <v>91.76</v>
      </c>
      <c r="D19" s="12" t="n">
        <v>11.42</v>
      </c>
    </row>
    <row r="20" customFormat="false" ht="15" hidden="false" customHeight="false" outlineLevel="0" collapsed="false">
      <c r="A20" s="12" t="s">
        <v>32</v>
      </c>
      <c r="B20" s="11" t="n">
        <v>6096</v>
      </c>
      <c r="C20" s="12" t="n">
        <v>98.64</v>
      </c>
      <c r="D20" s="12" t="n">
        <v>9.24</v>
      </c>
    </row>
    <row r="21" customFormat="false" ht="15" hidden="false" customHeight="false" outlineLevel="0" collapsed="false">
      <c r="A21" s="12" t="s">
        <v>33</v>
      </c>
      <c r="B21" s="11" t="n">
        <v>6156</v>
      </c>
      <c r="C21" s="12" t="n">
        <v>95.52</v>
      </c>
      <c r="D21" s="12" t="n">
        <v>8.96</v>
      </c>
    </row>
    <row r="22" customFormat="false" ht="15" hidden="false" customHeight="false" outlineLevel="0" collapsed="false">
      <c r="A22" s="12" t="s">
        <v>34</v>
      </c>
      <c r="B22" s="11" t="n">
        <v>6351</v>
      </c>
      <c r="C22" s="12" t="n">
        <v>89.61</v>
      </c>
      <c r="D22" s="12" t="n">
        <v>7.73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31.5" hidden="false" customHeight="true" outlineLevel="0" collapsed="false">
      <c r="A1" s="10" t="s">
        <v>35</v>
      </c>
      <c r="B1" s="10" t="s">
        <v>13</v>
      </c>
      <c r="C1" s="10" t="s">
        <v>8</v>
      </c>
      <c r="D1" s="10" t="s">
        <v>9</v>
      </c>
    </row>
    <row r="2" customFormat="false" ht="15" hidden="false" customHeight="false" outlineLevel="0" collapsed="false">
      <c r="A2" s="12" t="s">
        <v>36</v>
      </c>
      <c r="B2" s="11" t="n">
        <v>397</v>
      </c>
      <c r="C2" s="12" t="n">
        <v>76.07</v>
      </c>
      <c r="D2" s="12" t="n">
        <v>24.54</v>
      </c>
    </row>
    <row r="3" customFormat="false" ht="15" hidden="false" customHeight="false" outlineLevel="0" collapsed="false">
      <c r="A3" s="12" t="s">
        <v>37</v>
      </c>
      <c r="B3" s="11" t="n">
        <v>717</v>
      </c>
      <c r="C3" s="12" t="n">
        <v>80.33</v>
      </c>
      <c r="D3" s="12" t="n">
        <v>21.57</v>
      </c>
    </row>
    <row r="4" customFormat="false" ht="15" hidden="false" customHeight="false" outlineLevel="0" collapsed="false">
      <c r="A4" s="12" t="s">
        <v>38</v>
      </c>
      <c r="B4" s="11" t="n">
        <v>476</v>
      </c>
      <c r="C4" s="12" t="n">
        <v>84.03</v>
      </c>
      <c r="D4" s="12" t="n">
        <v>19.46</v>
      </c>
    </row>
    <row r="5" customFormat="false" ht="15" hidden="false" customHeight="false" outlineLevel="0" collapsed="false">
      <c r="A5" s="12" t="s">
        <v>39</v>
      </c>
      <c r="B5" s="11" t="n">
        <v>1279</v>
      </c>
      <c r="C5" s="12" t="n">
        <v>84.68</v>
      </c>
      <c r="D5" s="12" t="n">
        <v>21.27</v>
      </c>
    </row>
    <row r="6" customFormat="false" ht="15" hidden="false" customHeight="false" outlineLevel="0" collapsed="false">
      <c r="A6" s="12" t="s">
        <v>40</v>
      </c>
      <c r="B6" s="11" t="n">
        <v>335</v>
      </c>
      <c r="C6" s="12" t="n">
        <v>84.78</v>
      </c>
      <c r="D6" s="12" t="n">
        <v>21.52</v>
      </c>
    </row>
    <row r="7" customFormat="false" ht="15" hidden="false" customHeight="false" outlineLevel="0" collapsed="false">
      <c r="A7" s="12" t="s">
        <v>41</v>
      </c>
      <c r="B7" s="11" t="n">
        <v>3256</v>
      </c>
      <c r="C7" s="12" t="n">
        <v>85.96</v>
      </c>
      <c r="D7" s="12" t="n">
        <v>19.34</v>
      </c>
    </row>
    <row r="8" customFormat="false" ht="15" hidden="false" customHeight="false" outlineLevel="0" collapsed="false">
      <c r="A8" s="12" t="s">
        <v>42</v>
      </c>
      <c r="B8" s="11" t="n">
        <v>12350</v>
      </c>
      <c r="C8" s="12" t="n">
        <v>86.53</v>
      </c>
      <c r="D8" s="12" t="n">
        <v>15.31</v>
      </c>
    </row>
    <row r="9" customFormat="false" ht="15" hidden="false" customHeight="false" outlineLevel="0" collapsed="false">
      <c r="A9" s="12" t="s">
        <v>43</v>
      </c>
      <c r="B9" s="11" t="n">
        <v>274</v>
      </c>
      <c r="C9" s="12" t="n">
        <v>87.23</v>
      </c>
      <c r="D9" s="12" t="n">
        <v>17.66</v>
      </c>
    </row>
    <row r="10" customFormat="false" ht="15" hidden="false" customHeight="false" outlineLevel="0" collapsed="false">
      <c r="A10" s="12" t="s">
        <v>44</v>
      </c>
      <c r="B10" s="11" t="n">
        <v>946</v>
      </c>
      <c r="C10" s="12" t="n">
        <v>87.63</v>
      </c>
      <c r="D10" s="12" t="n">
        <v>23.77</v>
      </c>
    </row>
    <row r="11" customFormat="false" ht="15" hidden="false" customHeight="false" outlineLevel="0" collapsed="false">
      <c r="A11" s="12" t="s">
        <v>45</v>
      </c>
      <c r="B11" s="11" t="n">
        <v>1995</v>
      </c>
      <c r="C11" s="12" t="n">
        <v>87.77</v>
      </c>
      <c r="D11" s="12" t="n">
        <v>15.79</v>
      </c>
    </row>
    <row r="12" customFormat="false" ht="15" hidden="false" customHeight="false" outlineLevel="0" collapsed="false">
      <c r="A12" s="12" t="s">
        <v>46</v>
      </c>
      <c r="B12" s="11" t="n">
        <v>701</v>
      </c>
      <c r="C12" s="12" t="n">
        <v>88.45</v>
      </c>
      <c r="D12" s="12" t="n">
        <v>15.62</v>
      </c>
    </row>
    <row r="13" customFormat="false" ht="15" hidden="false" customHeight="false" outlineLevel="0" collapsed="false">
      <c r="A13" s="12" t="s">
        <v>47</v>
      </c>
      <c r="B13" s="11" t="n">
        <v>517</v>
      </c>
      <c r="C13" s="12" t="n">
        <v>88.97</v>
      </c>
      <c r="D13" s="12" t="n">
        <v>20.43</v>
      </c>
    </row>
    <row r="14" customFormat="false" ht="15" hidden="false" customHeight="false" outlineLevel="0" collapsed="false">
      <c r="A14" s="12" t="s">
        <v>48</v>
      </c>
      <c r="B14" s="11" t="n">
        <v>1593</v>
      </c>
      <c r="C14" s="12" t="n">
        <v>89.2</v>
      </c>
      <c r="D14" s="12" t="n">
        <v>18.45</v>
      </c>
    </row>
    <row r="15" customFormat="false" ht="15" hidden="false" customHeight="false" outlineLevel="0" collapsed="false">
      <c r="A15" s="12" t="s">
        <v>49</v>
      </c>
      <c r="B15" s="11" t="n">
        <v>474</v>
      </c>
      <c r="C15" s="12" t="n">
        <v>89.24</v>
      </c>
      <c r="D15" s="12" t="n">
        <v>19.28</v>
      </c>
    </row>
    <row r="16" customFormat="false" ht="15" hidden="false" customHeight="false" outlineLevel="0" collapsed="false">
      <c r="A16" s="12" t="s">
        <v>50</v>
      </c>
      <c r="B16" s="11" t="n">
        <v>3546</v>
      </c>
      <c r="C16" s="12" t="n">
        <v>90.24</v>
      </c>
      <c r="D16" s="12" t="n">
        <v>14.95</v>
      </c>
    </row>
    <row r="17" customFormat="false" ht="15" hidden="false" customHeight="false" outlineLevel="0" collapsed="false">
      <c r="A17" s="12" t="s">
        <v>51</v>
      </c>
      <c r="B17" s="11" t="n">
        <v>1957</v>
      </c>
      <c r="C17" s="12" t="n">
        <v>91.82</v>
      </c>
      <c r="D17" s="12" t="n">
        <v>15.61</v>
      </c>
    </row>
    <row r="18" customFormat="false" ht="15" hidden="false" customHeight="false" outlineLevel="0" collapsed="false">
      <c r="A18" s="12" t="s">
        <v>52</v>
      </c>
      <c r="B18" s="11" t="n">
        <v>5344</v>
      </c>
      <c r="C18" s="12" t="n">
        <v>92.85</v>
      </c>
      <c r="D18" s="12" t="n">
        <v>15.3</v>
      </c>
    </row>
    <row r="19" customFormat="false" ht="15" hidden="false" customHeight="false" outlineLevel="0" collapsed="false">
      <c r="A19" s="12" t="s">
        <v>53</v>
      </c>
      <c r="B19" s="11" t="n">
        <v>2080</v>
      </c>
      <c r="C19" s="12" t="n">
        <v>92.93</v>
      </c>
      <c r="D19" s="12" t="n">
        <v>12.97</v>
      </c>
    </row>
    <row r="20" customFormat="false" ht="15" hidden="false" customHeight="false" outlineLevel="0" collapsed="false">
      <c r="A20" s="12" t="s">
        <v>54</v>
      </c>
      <c r="B20" s="11" t="n">
        <v>886</v>
      </c>
      <c r="C20" s="12" t="n">
        <v>93.23</v>
      </c>
      <c r="D20" s="12" t="n">
        <v>18.06</v>
      </c>
    </row>
    <row r="21" customFormat="false" ht="15" hidden="false" customHeight="false" outlineLevel="0" collapsed="false">
      <c r="A21" s="12" t="s">
        <v>55</v>
      </c>
      <c r="B21" s="11" t="n">
        <v>40494</v>
      </c>
      <c r="C21" s="12" t="n">
        <v>94.11</v>
      </c>
      <c r="D21" s="12" t="n">
        <v>8.76</v>
      </c>
    </row>
    <row r="22" customFormat="false" ht="15" hidden="false" customHeight="false" outlineLevel="0" collapsed="false">
      <c r="A22" s="12" t="s">
        <v>56</v>
      </c>
      <c r="B22" s="11" t="n">
        <v>11354</v>
      </c>
      <c r="C22" s="12" t="n">
        <v>94.39</v>
      </c>
      <c r="D22" s="12" t="n">
        <v>12.01</v>
      </c>
    </row>
    <row r="23" customFormat="false" ht="15" hidden="false" customHeight="false" outlineLevel="0" collapsed="false">
      <c r="A23" s="12" t="s">
        <v>57</v>
      </c>
      <c r="B23" s="11" t="n">
        <v>4923</v>
      </c>
      <c r="C23" s="12" t="n">
        <v>95</v>
      </c>
      <c r="D23" s="12" t="n">
        <v>11.99</v>
      </c>
    </row>
    <row r="24" customFormat="false" ht="15" hidden="false" customHeight="false" outlineLevel="0" collapsed="false">
      <c r="A24" s="12" t="s">
        <v>58</v>
      </c>
      <c r="B24" s="11" t="n">
        <v>145</v>
      </c>
      <c r="C24" s="12" t="n">
        <v>95.86</v>
      </c>
      <c r="D24" s="12" t="n">
        <v>26.43</v>
      </c>
    </row>
    <row r="25" customFormat="false" ht="15" hidden="false" customHeight="false" outlineLevel="0" collapsed="false">
      <c r="A25" s="12" t="s">
        <v>59</v>
      </c>
      <c r="B25" s="11" t="n">
        <v>243</v>
      </c>
      <c r="C25" s="12" t="n">
        <v>97.12</v>
      </c>
      <c r="D25" s="12" t="n">
        <v>19.37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31.5" hidden="false" customHeight="true" outlineLevel="0" collapsed="false">
      <c r="A1" s="10" t="s">
        <v>60</v>
      </c>
      <c r="B1" s="10" t="s">
        <v>13</v>
      </c>
      <c r="C1" s="10" t="s">
        <v>61</v>
      </c>
      <c r="D1" s="10" t="s">
        <v>62</v>
      </c>
      <c r="E1" s="10" t="s">
        <v>63</v>
      </c>
      <c r="F1" s="14" t="s">
        <v>64</v>
      </c>
    </row>
    <row r="2" customFormat="false" ht="15" hidden="false" customHeight="false" outlineLevel="0" collapsed="false">
      <c r="A2" s="12" t="s">
        <v>65</v>
      </c>
      <c r="B2" s="12" t="n">
        <v>7825</v>
      </c>
      <c r="C2" s="12" t="n">
        <v>0.51</v>
      </c>
      <c r="D2" s="12" t="n">
        <v>5.32</v>
      </c>
      <c r="E2" s="12" t="n">
        <v>25.68</v>
      </c>
      <c r="F2" s="15" t="n">
        <f aca="false">SUM(C2:E2)</f>
        <v>31.51</v>
      </c>
    </row>
    <row r="3" customFormat="false" ht="15" hidden="false" customHeight="false" outlineLevel="0" collapsed="false">
      <c r="A3" s="12" t="s">
        <v>66</v>
      </c>
      <c r="B3" s="12" t="n">
        <v>88630</v>
      </c>
      <c r="C3" s="12" t="n">
        <v>0.42</v>
      </c>
      <c r="D3" s="12" t="n">
        <v>2.58</v>
      </c>
      <c r="E3" s="12" t="n">
        <v>7.89</v>
      </c>
      <c r="F3" s="15" t="n">
        <f aca="false">SUM(C3:E3)</f>
        <v>10.89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31.5" hidden="false" customHeight="true" outlineLevel="0" collapsed="false">
      <c r="A1" s="10" t="s">
        <v>60</v>
      </c>
      <c r="B1" s="10" t="s">
        <v>13</v>
      </c>
      <c r="C1" s="10" t="s">
        <v>67</v>
      </c>
      <c r="D1" s="10" t="s">
        <v>68</v>
      </c>
    </row>
    <row r="2" customFormat="false" ht="15" hidden="false" customHeight="false" outlineLevel="0" collapsed="false">
      <c r="A2" s="12" t="s">
        <v>65</v>
      </c>
      <c r="B2" s="12" t="n">
        <v>7661</v>
      </c>
      <c r="C2" s="12" t="n">
        <v>2.57</v>
      </c>
      <c r="D2" s="12" t="n">
        <v>53.99</v>
      </c>
    </row>
    <row r="3" customFormat="false" ht="15" hidden="false" customHeight="false" outlineLevel="0" collapsed="false">
      <c r="A3" s="12" t="s">
        <v>66</v>
      </c>
      <c r="B3" s="12" t="n">
        <v>88163</v>
      </c>
      <c r="C3" s="12" t="n">
        <v>4.29</v>
      </c>
      <c r="D3" s="12" t="n">
        <v>9.19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2026-10-07T21:49:10Z</dcterms:created>
  <dc:creator>openpyxl</dc:creator>
  <dc:description/>
  <dc:language>en-US</dc:language>
  <cp:lastModifiedBy/>
  <dcterms:modified xsi:type="dcterms:W3CDTF">2026-10-07T21:49:13Z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